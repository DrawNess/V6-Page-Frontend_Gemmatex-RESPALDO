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ss\Documents\Gemmatex\Frontend-V6\"/>
    </mc:Choice>
  </mc:AlternateContent>
  <xr:revisionPtr revIDLastSave="0" documentId="13_ncr:1_{6CB8B563-C1C2-4DCC-994C-F6AE649872C2}" xr6:coauthVersionLast="47" xr6:coauthVersionMax="47" xr10:uidLastSave="{00000000-0000-0000-0000-000000000000}"/>
  <bookViews>
    <workbookView xWindow="1950" yWindow="1950" windowWidth="21600" windowHeight="11295" xr2:uid="{32A6D585-E592-42B9-8F3F-6E589927E13D}"/>
  </bookViews>
  <sheets>
    <sheet name="Asientos" sheetId="1" r:id="rId1"/>
    <sheet name="UEPS" sheetId="3" r:id="rId2"/>
    <sheet name="Hoja2" sheetId="2" r:id="rId3"/>
  </sheets>
  <externalReferences>
    <externalReference r:id="rId4"/>
  </externalReferences>
  <definedNames>
    <definedName name="MiCosto">[1]ESPECIFICO!$B$3:$D$21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3" i="1" l="1"/>
  <c r="E43" i="1" s="1"/>
  <c r="C8" i="1"/>
  <c r="D17" i="1"/>
  <c r="D49" i="1"/>
  <c r="E40" i="1"/>
  <c r="E41" i="1"/>
  <c r="E42" i="1"/>
  <c r="E44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7" i="1"/>
  <c r="F28" i="1"/>
  <c r="F30" i="1"/>
  <c r="F32" i="1"/>
  <c r="F37" i="1"/>
  <c r="F38" i="1"/>
  <c r="F39" i="1"/>
  <c r="F45" i="1"/>
  <c r="F48" i="1"/>
  <c r="E4" i="1"/>
  <c r="E5" i="1"/>
  <c r="E6" i="1"/>
  <c r="E7" i="1"/>
  <c r="E8" i="1"/>
  <c r="E9" i="1"/>
  <c r="E13" i="1"/>
  <c r="E21" i="1"/>
  <c r="E22" i="1"/>
  <c r="E23" i="1"/>
  <c r="E24" i="1"/>
  <c r="E25" i="1"/>
  <c r="E26" i="1"/>
  <c r="E29" i="1"/>
  <c r="E31" i="1"/>
  <c r="E33" i="1"/>
  <c r="E34" i="1"/>
  <c r="E35" i="1"/>
  <c r="E36" i="1"/>
  <c r="E46" i="1"/>
  <c r="E47" i="1"/>
  <c r="E3" i="1"/>
  <c r="C21" i="1"/>
  <c r="D20" i="1"/>
  <c r="D19" i="1"/>
  <c r="D14" i="1"/>
  <c r="D12" i="1"/>
  <c r="D11" i="1"/>
  <c r="D10" i="1"/>
  <c r="C9" i="1"/>
  <c r="C7" i="1"/>
  <c r="C6" i="1"/>
  <c r="D5" i="1"/>
  <c r="D3" i="1"/>
  <c r="C3" i="1"/>
  <c r="E49" i="1" l="1"/>
  <c r="E50" i="1" s="1"/>
  <c r="C49" i="1"/>
  <c r="C50" i="1" s="1"/>
  <c r="F49" i="1"/>
  <c r="B22" i="3" l="1"/>
  <c r="H21" i="3"/>
  <c r="J21" i="3" s="1"/>
  <c r="G21" i="3"/>
  <c r="D21" i="3"/>
  <c r="H20" i="3"/>
  <c r="J20" i="3" s="1"/>
  <c r="G20" i="3"/>
  <c r="D20" i="3"/>
  <c r="H19" i="3"/>
  <c r="J19" i="3" s="1"/>
  <c r="G19" i="3"/>
  <c r="D19" i="3"/>
  <c r="H18" i="3"/>
  <c r="J18" i="3" s="1"/>
  <c r="G18" i="3"/>
  <c r="D18" i="3"/>
  <c r="H17" i="3"/>
  <c r="J17" i="3" s="1"/>
  <c r="K16" i="3" s="1"/>
  <c r="G17" i="3"/>
  <c r="D17" i="3"/>
  <c r="H16" i="3"/>
  <c r="J16" i="3" s="1"/>
  <c r="G16" i="3"/>
  <c r="D16" i="3"/>
  <c r="H15" i="3"/>
  <c r="J15" i="3" s="1"/>
  <c r="K14" i="3" s="1"/>
  <c r="G15" i="3"/>
  <c r="D15" i="3"/>
  <c r="J14" i="3"/>
  <c r="K13" i="3" s="1"/>
  <c r="H14" i="3"/>
  <c r="G14" i="3"/>
  <c r="D14" i="3"/>
  <c r="H13" i="3"/>
  <c r="J13" i="3" s="1"/>
  <c r="G13" i="3"/>
  <c r="D13" i="3"/>
  <c r="H12" i="3"/>
  <c r="J12" i="3" s="1"/>
  <c r="G12" i="3"/>
  <c r="D12" i="3"/>
  <c r="H11" i="3"/>
  <c r="J11" i="3" s="1"/>
  <c r="K10" i="3" s="1"/>
  <c r="G11" i="3"/>
  <c r="D11" i="3"/>
  <c r="P10" i="3"/>
  <c r="Q10" i="3" s="1"/>
  <c r="O10" i="3"/>
  <c r="J10" i="3"/>
  <c r="H10" i="3"/>
  <c r="G10" i="3"/>
  <c r="D10" i="3"/>
  <c r="O9" i="3"/>
  <c r="E9" i="3"/>
  <c r="E22" i="3" s="1"/>
  <c r="D9" i="3"/>
  <c r="J8" i="3"/>
  <c r="D8" i="3"/>
  <c r="J7" i="3"/>
  <c r="D7" i="3"/>
  <c r="Q6" i="3"/>
  <c r="P6" i="3"/>
  <c r="O6" i="3"/>
  <c r="S6" i="3" s="1"/>
  <c r="G6" i="3"/>
  <c r="C6" i="3"/>
  <c r="D6" i="3" s="1"/>
  <c r="H5" i="3"/>
  <c r="G5" i="3"/>
  <c r="D5" i="3"/>
  <c r="D22" i="3" s="1"/>
  <c r="C5" i="3"/>
  <c r="F8" i="3" s="1"/>
  <c r="G8" i="3" s="1"/>
  <c r="J4" i="3"/>
  <c r="C5" i="1"/>
  <c r="K17" i="3" l="1"/>
  <c r="K18" i="3"/>
  <c r="R9" i="3"/>
  <c r="K19" i="3"/>
  <c r="K11" i="3"/>
  <c r="K15" i="3"/>
  <c r="K12" i="3"/>
  <c r="K21" i="3"/>
  <c r="K20" i="3"/>
  <c r="F7" i="3"/>
  <c r="G7" i="3" s="1"/>
  <c r="G9" i="3" s="1"/>
  <c r="K7" i="3"/>
  <c r="H6" i="3"/>
  <c r="R6" i="3"/>
  <c r="J5" i="3"/>
  <c r="G22" i="3" l="1"/>
  <c r="H9" i="3"/>
  <c r="J6" i="3"/>
  <c r="K5" i="3" l="1"/>
  <c r="K6" i="3"/>
  <c r="J9" i="3"/>
  <c r="H22" i="3"/>
  <c r="K8" i="3" l="1"/>
  <c r="K9" i="3"/>
</calcChain>
</file>

<file path=xl/sharedStrings.xml><?xml version="1.0" encoding="utf-8"?>
<sst xmlns="http://schemas.openxmlformats.org/spreadsheetml/2006/main" count="71" uniqueCount="62">
  <si>
    <t>Caja general Moneda Nacional</t>
  </si>
  <si>
    <t>Caja General Moneda Extranjera</t>
  </si>
  <si>
    <t>Banco Mercantil Santa Cruz/ Moneda extranjera</t>
  </si>
  <si>
    <t>Inventario de mercaderia</t>
  </si>
  <si>
    <t>Muebles y Enseres</t>
  </si>
  <si>
    <t>Equipos de Computacion</t>
  </si>
  <si>
    <t>Gastos de organización</t>
  </si>
  <si>
    <t>Depreciacion Acumulada Muebles y Enseres</t>
  </si>
  <si>
    <t>Depreciacion Acumulada Equipos de Computacion</t>
  </si>
  <si>
    <t>Amortizacion Acumulada Gastos de Organuzacion</t>
  </si>
  <si>
    <t>IVA por pagar</t>
  </si>
  <si>
    <t>IT por pagar</t>
  </si>
  <si>
    <t>Prestamos Bancarios por pagar L/P</t>
  </si>
  <si>
    <t>Capital Social Limitado</t>
  </si>
  <si>
    <t>Ajuste de Capital</t>
  </si>
  <si>
    <t>Reserva Legal</t>
  </si>
  <si>
    <t>Ajuste de reservas Patrimoniales</t>
  </si>
  <si>
    <t>Resultados acumulados</t>
  </si>
  <si>
    <t>Valuación de Inventario por método UEPS</t>
  </si>
  <si>
    <t>Compras</t>
  </si>
  <si>
    <t>Ventas</t>
  </si>
  <si>
    <t>Saldo</t>
  </si>
  <si>
    <t>Fecha</t>
  </si>
  <si>
    <t>Cantidad</t>
  </si>
  <si>
    <t>Costo</t>
  </si>
  <si>
    <t>Total</t>
  </si>
  <si>
    <t>Inv.Incial</t>
  </si>
  <si>
    <t>Totales</t>
  </si>
  <si>
    <t>CF-IVA</t>
  </si>
  <si>
    <t>DETALLE</t>
  </si>
  <si>
    <t>PARCIAL</t>
  </si>
  <si>
    <t>DEBE</t>
  </si>
  <si>
    <t>HABER</t>
  </si>
  <si>
    <t>CUENTAS POR PAGAR</t>
  </si>
  <si>
    <t>SEGUROS PAGADOS POR ADELANTADO</t>
  </si>
  <si>
    <t>CUENTAS POR COBRAR</t>
  </si>
  <si>
    <t>IT</t>
  </si>
  <si>
    <t>COSTO DE VENTAS</t>
  </si>
  <si>
    <t>VENTAS</t>
  </si>
  <si>
    <t>DF-IVA</t>
  </si>
  <si>
    <t>ACTIVO INTANGIBLE</t>
  </si>
  <si>
    <t>APORTES POR CAPITALIZAR</t>
  </si>
  <si>
    <t>SUELDOS Y SALARIOS</t>
  </si>
  <si>
    <t>SUELDOS Y SALARIOS POR PAGAR</t>
  </si>
  <si>
    <t>BENEFICIOS SOCIALES</t>
  </si>
  <si>
    <t>INDEMNIZACION</t>
  </si>
  <si>
    <t>AGUINALDO</t>
  </si>
  <si>
    <t>APORTES PATRONALES</t>
  </si>
  <si>
    <t>APORTES Y RETENCIONES POR PAGAR</t>
  </si>
  <si>
    <t>PREVISION INDEMNIZACIONES</t>
  </si>
  <si>
    <t>PREVISION AGUINALDO</t>
  </si>
  <si>
    <t>AMNTICIPO AL PERSONAL</t>
  </si>
  <si>
    <t>GASTOS FINANCIEROS</t>
  </si>
  <si>
    <t>ITF</t>
  </si>
  <si>
    <t>DIFERENCIA DE CAMBIO</t>
  </si>
  <si>
    <t>PERDIDA POR CUENTAS INCOBRABLES</t>
  </si>
  <si>
    <t>PREVISION PARA CUENTAS INCOBRABLES</t>
  </si>
  <si>
    <t>AITB</t>
  </si>
  <si>
    <t>AMORTIZACION *</t>
  </si>
  <si>
    <t>AMORTIZACION ACUM *</t>
  </si>
  <si>
    <t>DEUDOR</t>
  </si>
  <si>
    <t>ACREEDOR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</si>
</sst>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Lucida Calligraphy"/>
      <family val="4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9B9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26687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4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5" fillId="3" borderId="0" xfId="0" applyFont="1" applyFill="1"/>
    <xf numFmtId="0" fontId="6" fillId="3" borderId="0" xfId="0" applyFont="1" applyFill="1" applyAlignment="1">
      <alignment horizontal="centerContinuous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16" fontId="8" fillId="0" borderId="1" xfId="0" applyNumberFormat="1" applyFont="1" applyBorder="1"/>
    <xf numFmtId="0" fontId="8" fillId="0" borderId="2" xfId="0" applyFont="1" applyBorder="1"/>
    <xf numFmtId="164" fontId="8" fillId="0" borderId="3" xfId="2" applyFont="1" applyBorder="1"/>
    <xf numFmtId="164" fontId="8" fillId="0" borderId="4" xfId="2" applyFont="1" applyBorder="1"/>
    <xf numFmtId="164" fontId="8" fillId="0" borderId="2" xfId="2" applyFont="1" applyBorder="1"/>
    <xf numFmtId="165" fontId="8" fillId="0" borderId="2" xfId="2" applyNumberFormat="1" applyFont="1" applyBorder="1"/>
    <xf numFmtId="0" fontId="8" fillId="0" borderId="0" xfId="0" applyFont="1"/>
    <xf numFmtId="43" fontId="0" fillId="0" borderId="0" xfId="0" applyNumberFormat="1"/>
    <xf numFmtId="16" fontId="8" fillId="0" borderId="5" xfId="0" applyNumberFormat="1" applyFont="1" applyBorder="1"/>
    <xf numFmtId="165" fontId="8" fillId="0" borderId="6" xfId="2" applyNumberFormat="1" applyFont="1" applyBorder="1"/>
    <xf numFmtId="164" fontId="8" fillId="0" borderId="0" xfId="2" applyFont="1" applyBorder="1"/>
    <xf numFmtId="164" fontId="8" fillId="0" borderId="7" xfId="2" applyFont="1" applyBorder="1"/>
    <xf numFmtId="165" fontId="9" fillId="5" borderId="6" xfId="2" applyNumberFormat="1" applyFont="1" applyFill="1" applyBorder="1"/>
    <xf numFmtId="164" fontId="9" fillId="5" borderId="0" xfId="2" applyFont="1" applyFill="1" applyBorder="1"/>
    <xf numFmtId="164" fontId="9" fillId="5" borderId="7" xfId="2" applyFont="1" applyFill="1" applyBorder="1"/>
    <xf numFmtId="0" fontId="8" fillId="0" borderId="5" xfId="0" applyFont="1" applyBorder="1"/>
    <xf numFmtId="0" fontId="8" fillId="0" borderId="8" xfId="0" applyFont="1" applyBorder="1"/>
    <xf numFmtId="165" fontId="8" fillId="0" borderId="9" xfId="2" applyNumberFormat="1" applyFont="1" applyBorder="1"/>
    <xf numFmtId="164" fontId="8" fillId="0" borderId="10" xfId="2" applyFont="1" applyBorder="1"/>
    <xf numFmtId="164" fontId="8" fillId="0" borderId="11" xfId="2" applyFont="1" applyBorder="1"/>
    <xf numFmtId="165" fontId="7" fillId="6" borderId="0" xfId="2" applyNumberFormat="1" applyFont="1" applyFill="1" applyBorder="1" applyAlignment="1">
      <alignment horizontal="center"/>
    </xf>
    <xf numFmtId="164" fontId="7" fillId="6" borderId="0" xfId="2" applyFont="1" applyFill="1" applyBorder="1" applyAlignment="1">
      <alignment horizontal="center"/>
    </xf>
    <xf numFmtId="43" fontId="0" fillId="0" borderId="0" xfId="1" applyFont="1"/>
    <xf numFmtId="0" fontId="2" fillId="0" borderId="0" xfId="0" applyFont="1"/>
    <xf numFmtId="43" fontId="2" fillId="0" borderId="0" xfId="1" applyFont="1"/>
  </cellXfs>
  <cellStyles count="3">
    <cellStyle name="Millares" xfId="1" builtinId="3"/>
    <cellStyle name="Millares 2" xfId="2" xr:uid="{5124F8E5-5C02-4339-B37A-EF1B974B10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ss/Downloads/Valuacion%20Inventarios%20comparado%20IUEP,%20PEPS,%20PP,%20ESPECIFIC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ción"/>
      <sheetName val="ESPECIFICO"/>
      <sheetName val="PEPS"/>
      <sheetName val="UEPS"/>
      <sheetName val="PROMEDIO"/>
      <sheetName val="RESUMEN"/>
    </sheetNames>
    <sheetDataSet>
      <sheetData sheetId="0"/>
      <sheetData sheetId="1">
        <row r="3">
          <cell r="B3" t="str">
            <v>Mes</v>
          </cell>
          <cell r="C3" t="str">
            <v>Cantidad</v>
          </cell>
          <cell r="D3" t="str">
            <v>Costo Unit.</v>
          </cell>
        </row>
        <row r="5">
          <cell r="B5">
            <v>1</v>
          </cell>
          <cell r="C5">
            <v>50</v>
          </cell>
          <cell r="D5">
            <v>50000</v>
          </cell>
        </row>
        <row r="6">
          <cell r="B6">
            <v>1</v>
          </cell>
        </row>
        <row r="7">
          <cell r="B7">
            <v>4</v>
          </cell>
          <cell r="C7">
            <v>200</v>
          </cell>
          <cell r="D7">
            <v>55000</v>
          </cell>
        </row>
        <row r="8">
          <cell r="B8">
            <v>4</v>
          </cell>
        </row>
        <row r="9">
          <cell r="B9">
            <v>7</v>
          </cell>
          <cell r="C9">
            <v>200</v>
          </cell>
          <cell r="D9">
            <v>52500</v>
          </cell>
        </row>
        <row r="10">
          <cell r="B10">
            <v>7</v>
          </cell>
        </row>
        <row r="11">
          <cell r="B11">
            <v>9</v>
          </cell>
          <cell r="C11">
            <v>50</v>
          </cell>
          <cell r="D11">
            <v>56000</v>
          </cell>
        </row>
        <row r="12">
          <cell r="B12">
            <v>9</v>
          </cell>
        </row>
        <row r="13">
          <cell r="B13" t="str">
            <v/>
          </cell>
        </row>
        <row r="14">
          <cell r="B14" t="str">
            <v/>
          </cell>
        </row>
        <row r="15">
          <cell r="B15" t="str">
            <v/>
          </cell>
        </row>
        <row r="16">
          <cell r="B16" t="str">
            <v/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B4DC-6C80-4BFE-B422-B0D3EA65941A}">
  <sheetPr>
    <pageSetUpPr fitToPage="1"/>
  </sheetPr>
  <dimension ref="A2:F50"/>
  <sheetViews>
    <sheetView tabSelected="1" zoomScale="85" zoomScaleNormal="85" workbookViewId="0">
      <selection activeCell="G46" sqref="G46"/>
    </sheetView>
  </sheetViews>
  <sheetFormatPr baseColWidth="10" defaultRowHeight="15" x14ac:dyDescent="0.25"/>
  <cols>
    <col min="1" max="1" width="46" bestFit="1" customWidth="1"/>
    <col min="3" max="4" width="11.85546875" style="29" customWidth="1"/>
    <col min="5" max="6" width="11.85546875" customWidth="1"/>
  </cols>
  <sheetData>
    <row r="2" spans="1:6" x14ac:dyDescent="0.25">
      <c r="A2" t="s">
        <v>29</v>
      </c>
      <c r="B2" t="s">
        <v>30</v>
      </c>
      <c r="C2" s="29" t="s">
        <v>31</v>
      </c>
      <c r="D2" s="29" t="s">
        <v>32</v>
      </c>
      <c r="E2" t="s">
        <v>60</v>
      </c>
      <c r="F2" t="s">
        <v>61</v>
      </c>
    </row>
    <row r="3" spans="1:6" x14ac:dyDescent="0.25">
      <c r="A3" t="s">
        <v>0</v>
      </c>
      <c r="C3" s="29">
        <f>31190+33775+20000</f>
        <v>84965</v>
      </c>
      <c r="D3" s="29">
        <f>10472+2800+861.24+450+15708+25</f>
        <v>30316.239999999998</v>
      </c>
      <c r="E3" s="14">
        <f>C3-D3</f>
        <v>54648.76</v>
      </c>
      <c r="F3" s="14"/>
    </row>
    <row r="4" spans="1:6" x14ac:dyDescent="0.25">
      <c r="A4" t="s">
        <v>1</v>
      </c>
      <c r="C4" s="29">
        <v>2800</v>
      </c>
      <c r="E4" s="14">
        <f t="shared" ref="E4:E48" si="0">C4-D4</f>
        <v>2800</v>
      </c>
      <c r="F4" s="14"/>
    </row>
    <row r="5" spans="1:6" x14ac:dyDescent="0.25">
      <c r="A5" t="s">
        <v>2</v>
      </c>
      <c r="C5" s="29">
        <f>3550*7</f>
        <v>24850</v>
      </c>
      <c r="D5" s="29">
        <f>2792+279.2+62.02</f>
        <v>3133.22</v>
      </c>
      <c r="E5" s="14">
        <f t="shared" si="0"/>
        <v>21716.78</v>
      </c>
      <c r="F5" s="14"/>
    </row>
    <row r="6" spans="1:6" x14ac:dyDescent="0.25">
      <c r="A6" t="s">
        <v>3</v>
      </c>
      <c r="C6" s="29">
        <f>20000+22776.6</f>
        <v>42776.6</v>
      </c>
      <c r="D6" s="29">
        <v>23526.6</v>
      </c>
      <c r="E6" s="14">
        <f t="shared" si="0"/>
        <v>19250</v>
      </c>
      <c r="F6" s="14"/>
    </row>
    <row r="7" spans="1:6" x14ac:dyDescent="0.25">
      <c r="A7" t="s">
        <v>4</v>
      </c>
      <c r="C7" s="29">
        <f>22000+52.96</f>
        <v>22052.959999999999</v>
      </c>
      <c r="E7" s="14">
        <f t="shared" si="0"/>
        <v>22052.959999999999</v>
      </c>
      <c r="F7" s="14"/>
    </row>
    <row r="8" spans="1:6" x14ac:dyDescent="0.25">
      <c r="A8" t="s">
        <v>5</v>
      </c>
      <c r="C8" s="29">
        <f>14000+33.7</f>
        <v>14033.7</v>
      </c>
      <c r="E8" s="14">
        <f t="shared" si="0"/>
        <v>14033.7</v>
      </c>
      <c r="F8" s="14"/>
    </row>
    <row r="9" spans="1:6" x14ac:dyDescent="0.25">
      <c r="A9" t="s">
        <v>6</v>
      </c>
      <c r="C9" s="29">
        <f>1800+4.33</f>
        <v>1804.33</v>
      </c>
      <c r="E9" s="14">
        <f t="shared" si="0"/>
        <v>1804.33</v>
      </c>
      <c r="F9" s="14"/>
    </row>
    <row r="10" spans="1:6" x14ac:dyDescent="0.25">
      <c r="A10" t="s">
        <v>7</v>
      </c>
      <c r="C10" s="29">
        <v>183.77</v>
      </c>
      <c r="D10" s="29">
        <f>2090+5.03+183.77</f>
        <v>2278.8000000000002</v>
      </c>
      <c r="E10" s="14"/>
      <c r="F10" s="14">
        <f t="shared" ref="F4:F48" si="1">D10-C10</f>
        <v>2095.0300000000002</v>
      </c>
    </row>
    <row r="11" spans="1:6" x14ac:dyDescent="0.25">
      <c r="A11" t="s">
        <v>8</v>
      </c>
      <c r="C11" s="29">
        <v>292.37</v>
      </c>
      <c r="D11" s="29">
        <f>3325+8+292.37</f>
        <v>3625.37</v>
      </c>
      <c r="E11" s="14"/>
      <c r="F11" s="14">
        <f t="shared" si="1"/>
        <v>3333</v>
      </c>
    </row>
    <row r="12" spans="1:6" x14ac:dyDescent="0.25">
      <c r="A12" t="s">
        <v>9</v>
      </c>
      <c r="C12" s="29">
        <v>37.590000000000003</v>
      </c>
      <c r="D12" s="29">
        <f>450+1.08+37.59</f>
        <v>488.66999999999996</v>
      </c>
      <c r="E12" s="14"/>
      <c r="F12" s="14">
        <f t="shared" si="1"/>
        <v>451.07999999999993</v>
      </c>
    </row>
    <row r="13" spans="1:6" x14ac:dyDescent="0.25">
      <c r="A13" t="s">
        <v>10</v>
      </c>
      <c r="C13" s="29">
        <v>450</v>
      </c>
      <c r="D13" s="29">
        <v>450</v>
      </c>
      <c r="E13" s="14">
        <f t="shared" si="0"/>
        <v>0</v>
      </c>
      <c r="F13" s="14">
        <f t="shared" si="1"/>
        <v>0</v>
      </c>
    </row>
    <row r="14" spans="1:6" x14ac:dyDescent="0.25">
      <c r="A14" t="s">
        <v>11</v>
      </c>
      <c r="D14" s="29">
        <f>2200+1147.5</f>
        <v>3347.5</v>
      </c>
      <c r="E14" s="14"/>
      <c r="F14" s="14">
        <f t="shared" si="1"/>
        <v>3347.5</v>
      </c>
    </row>
    <row r="15" spans="1:6" x14ac:dyDescent="0.25">
      <c r="A15" t="s">
        <v>12</v>
      </c>
      <c r="C15" s="29">
        <v>861.24</v>
      </c>
      <c r="D15" s="29">
        <v>20000</v>
      </c>
      <c r="E15" s="14"/>
      <c r="F15" s="14">
        <f t="shared" si="1"/>
        <v>19138.759999999998</v>
      </c>
    </row>
    <row r="16" spans="1:6" x14ac:dyDescent="0.25">
      <c r="A16" t="s">
        <v>13</v>
      </c>
      <c r="D16" s="29">
        <v>84500</v>
      </c>
      <c r="E16" s="14"/>
      <c r="F16" s="14">
        <f t="shared" si="1"/>
        <v>84500</v>
      </c>
    </row>
    <row r="17" spans="1:6" x14ac:dyDescent="0.25">
      <c r="A17" t="s">
        <v>14</v>
      </c>
      <c r="D17" s="29">
        <f>455+204.51</f>
        <v>659.51</v>
      </c>
      <c r="E17" s="14"/>
      <c r="F17" s="14">
        <f t="shared" si="1"/>
        <v>659.51</v>
      </c>
    </row>
    <row r="18" spans="1:6" x14ac:dyDescent="0.25">
      <c r="A18" t="s">
        <v>15</v>
      </c>
      <c r="D18" s="29">
        <v>1110</v>
      </c>
      <c r="E18" s="14"/>
      <c r="F18" s="14">
        <f t="shared" si="1"/>
        <v>1110</v>
      </c>
    </row>
    <row r="19" spans="1:6" x14ac:dyDescent="0.25">
      <c r="A19" t="s">
        <v>16</v>
      </c>
      <c r="D19" s="29">
        <f>130+2.98</f>
        <v>132.97999999999999</v>
      </c>
      <c r="E19" s="14"/>
      <c r="F19" s="14">
        <f t="shared" si="1"/>
        <v>132.97999999999999</v>
      </c>
    </row>
    <row r="20" spans="1:6" x14ac:dyDescent="0.25">
      <c r="A20" t="s">
        <v>17</v>
      </c>
      <c r="D20" s="29">
        <f>1930+4.65</f>
        <v>1934.65</v>
      </c>
      <c r="E20" s="14"/>
      <c r="F20" s="14">
        <f t="shared" si="1"/>
        <v>1934.65</v>
      </c>
    </row>
    <row r="21" spans="1:6" x14ac:dyDescent="0.25">
      <c r="A21" t="s">
        <v>28</v>
      </c>
      <c r="C21" s="29">
        <f>3403.4+364+362.96</f>
        <v>4130.3599999999997</v>
      </c>
      <c r="D21" s="29">
        <v>4130.3599999999997</v>
      </c>
      <c r="E21" s="14">
        <f t="shared" si="0"/>
        <v>0</v>
      </c>
      <c r="F21" s="14">
        <f t="shared" si="1"/>
        <v>0</v>
      </c>
    </row>
    <row r="22" spans="1:6" x14ac:dyDescent="0.25">
      <c r="A22" t="s">
        <v>33</v>
      </c>
      <c r="C22" s="29">
        <v>15708</v>
      </c>
      <c r="D22" s="29">
        <v>15708</v>
      </c>
      <c r="E22" s="14">
        <f t="shared" si="0"/>
        <v>0</v>
      </c>
      <c r="F22" s="14">
        <f t="shared" si="1"/>
        <v>0</v>
      </c>
    </row>
    <row r="23" spans="1:6" x14ac:dyDescent="0.25">
      <c r="A23" t="s">
        <v>34</v>
      </c>
      <c r="C23" s="29">
        <v>2436</v>
      </c>
      <c r="E23" s="14">
        <f t="shared" si="0"/>
        <v>2436</v>
      </c>
      <c r="F23" s="14"/>
    </row>
    <row r="24" spans="1:6" x14ac:dyDescent="0.25">
      <c r="A24" t="s">
        <v>35</v>
      </c>
      <c r="C24" s="29">
        <v>14475</v>
      </c>
      <c r="E24" s="14">
        <f t="shared" si="0"/>
        <v>14475</v>
      </c>
      <c r="F24" s="14"/>
    </row>
    <row r="25" spans="1:6" x14ac:dyDescent="0.25">
      <c r="A25" t="s">
        <v>36</v>
      </c>
      <c r="C25" s="29">
        <v>1147.5</v>
      </c>
      <c r="E25" s="14">
        <f t="shared" si="0"/>
        <v>1147.5</v>
      </c>
      <c r="F25" s="14"/>
    </row>
    <row r="26" spans="1:6" x14ac:dyDescent="0.25">
      <c r="A26" t="s">
        <v>37</v>
      </c>
      <c r="C26" s="29">
        <v>23526</v>
      </c>
      <c r="E26" s="14">
        <f t="shared" si="0"/>
        <v>23526</v>
      </c>
      <c r="F26" s="14"/>
    </row>
    <row r="27" spans="1:6" x14ac:dyDescent="0.25">
      <c r="A27" t="s">
        <v>38</v>
      </c>
      <c r="D27" s="29">
        <v>41977.5</v>
      </c>
      <c r="E27" s="14"/>
      <c r="F27" s="14">
        <f t="shared" si="1"/>
        <v>41977.5</v>
      </c>
    </row>
    <row r="28" spans="1:6" x14ac:dyDescent="0.25">
      <c r="A28" t="s">
        <v>39</v>
      </c>
      <c r="C28" s="29">
        <v>4130.3599999999997</v>
      </c>
      <c r="D28" s="29">
        <v>6272.5</v>
      </c>
      <c r="E28" s="14"/>
      <c r="F28" s="14">
        <f t="shared" si="1"/>
        <v>2142.1400000000003</v>
      </c>
    </row>
    <row r="29" spans="1:6" x14ac:dyDescent="0.25">
      <c r="A29" t="s">
        <v>40</v>
      </c>
      <c r="C29" s="29">
        <v>2429.04</v>
      </c>
      <c r="E29" s="14">
        <f t="shared" si="0"/>
        <v>2429.04</v>
      </c>
      <c r="F29" s="14"/>
    </row>
    <row r="30" spans="1:6" x14ac:dyDescent="0.25">
      <c r="A30" t="s">
        <v>41</v>
      </c>
      <c r="D30" s="29">
        <v>20000</v>
      </c>
      <c r="E30" s="14"/>
      <c r="F30" s="14">
        <f t="shared" si="1"/>
        <v>20000</v>
      </c>
    </row>
    <row r="31" spans="1:6" x14ac:dyDescent="0.25">
      <c r="A31" t="s">
        <v>42</v>
      </c>
      <c r="C31" s="29">
        <v>9800</v>
      </c>
      <c r="E31" s="14">
        <f t="shared" si="0"/>
        <v>9800</v>
      </c>
      <c r="F31" s="14"/>
    </row>
    <row r="32" spans="1:6" x14ac:dyDescent="0.25">
      <c r="A32" t="s">
        <v>43</v>
      </c>
      <c r="D32" s="29">
        <v>9800</v>
      </c>
      <c r="E32" s="14"/>
      <c r="F32" s="14">
        <f t="shared" si="1"/>
        <v>9800</v>
      </c>
    </row>
    <row r="33" spans="1:6" x14ac:dyDescent="0.25">
      <c r="A33" t="s">
        <v>44</v>
      </c>
      <c r="C33" s="29">
        <v>1245.58</v>
      </c>
      <c r="E33" s="14">
        <f t="shared" si="0"/>
        <v>1245.58</v>
      </c>
      <c r="F33" s="14"/>
    </row>
    <row r="34" spans="1:6" x14ac:dyDescent="0.25">
      <c r="A34" t="s">
        <v>45</v>
      </c>
      <c r="C34" s="29">
        <v>816.67</v>
      </c>
      <c r="E34" s="14">
        <f t="shared" si="0"/>
        <v>816.67</v>
      </c>
      <c r="F34" s="14"/>
    </row>
    <row r="35" spans="1:6" x14ac:dyDescent="0.25">
      <c r="A35" t="s">
        <v>46</v>
      </c>
      <c r="C35" s="29">
        <v>816.67</v>
      </c>
      <c r="E35" s="14">
        <f t="shared" si="0"/>
        <v>816.67</v>
      </c>
      <c r="F35" s="14"/>
    </row>
    <row r="36" spans="1:6" x14ac:dyDescent="0.25">
      <c r="A36" t="s">
        <v>47</v>
      </c>
      <c r="C36" s="29">
        <v>1637.58</v>
      </c>
      <c r="E36" s="14">
        <f t="shared" si="0"/>
        <v>1637.58</v>
      </c>
      <c r="F36" s="14"/>
    </row>
    <row r="37" spans="1:6" x14ac:dyDescent="0.25">
      <c r="A37" t="s">
        <v>48</v>
      </c>
      <c r="D37" s="29">
        <v>2883.16</v>
      </c>
      <c r="E37" s="14"/>
      <c r="F37" s="14">
        <f t="shared" si="1"/>
        <v>2883.16</v>
      </c>
    </row>
    <row r="38" spans="1:6" x14ac:dyDescent="0.25">
      <c r="A38" t="s">
        <v>49</v>
      </c>
      <c r="D38" s="29">
        <v>816.67</v>
      </c>
      <c r="E38" s="14"/>
      <c r="F38" s="14">
        <f t="shared" si="1"/>
        <v>816.67</v>
      </c>
    </row>
    <row r="39" spans="1:6" x14ac:dyDescent="0.25">
      <c r="A39" t="s">
        <v>50</v>
      </c>
      <c r="D39" s="29">
        <v>816.67</v>
      </c>
      <c r="E39" s="14"/>
      <c r="F39" s="14">
        <f t="shared" si="1"/>
        <v>816.67</v>
      </c>
    </row>
    <row r="40" spans="1:6" x14ac:dyDescent="0.25">
      <c r="A40" t="s">
        <v>51</v>
      </c>
      <c r="C40" s="29">
        <v>25</v>
      </c>
      <c r="E40" s="14">
        <f t="shared" si="0"/>
        <v>25</v>
      </c>
      <c r="F40" s="14"/>
    </row>
    <row r="41" spans="1:6" x14ac:dyDescent="0.25">
      <c r="A41" t="s">
        <v>52</v>
      </c>
      <c r="C41" s="29">
        <v>209.4</v>
      </c>
      <c r="E41" s="14">
        <f t="shared" si="0"/>
        <v>209.4</v>
      </c>
      <c r="F41" s="14"/>
    </row>
    <row r="42" spans="1:6" x14ac:dyDescent="0.25">
      <c r="A42" t="s">
        <v>53</v>
      </c>
      <c r="C42" s="29">
        <v>69.8</v>
      </c>
      <c r="E42" s="14">
        <f t="shared" si="0"/>
        <v>69.8</v>
      </c>
      <c r="F42" s="14"/>
    </row>
    <row r="43" spans="1:6" x14ac:dyDescent="0.25">
      <c r="A43" s="30" t="s">
        <v>54</v>
      </c>
      <c r="B43" s="30"/>
      <c r="C43" s="31">
        <f>62.02+1.68</f>
        <v>63.7</v>
      </c>
      <c r="E43" s="14">
        <f t="shared" si="0"/>
        <v>63.7</v>
      </c>
      <c r="F43" s="14"/>
    </row>
    <row r="44" spans="1:6" x14ac:dyDescent="0.25">
      <c r="A44" t="s">
        <v>55</v>
      </c>
      <c r="C44" s="29">
        <v>550.04999999999995</v>
      </c>
      <c r="E44" s="14">
        <f t="shared" si="0"/>
        <v>550.04999999999995</v>
      </c>
      <c r="F44" s="14"/>
    </row>
    <row r="45" spans="1:6" x14ac:dyDescent="0.25">
      <c r="A45" t="s">
        <v>56</v>
      </c>
      <c r="D45" s="29">
        <v>550.04999999999995</v>
      </c>
      <c r="E45" s="14"/>
      <c r="F45" s="14">
        <f t="shared" si="1"/>
        <v>550.04999999999995</v>
      </c>
    </row>
    <row r="46" spans="1:6" x14ac:dyDescent="0.25">
      <c r="A46" t="s">
        <v>57</v>
      </c>
      <c r="C46" s="29">
        <v>225.17</v>
      </c>
      <c r="D46" s="29">
        <v>90.99</v>
      </c>
      <c r="E46" s="14">
        <f t="shared" si="0"/>
        <v>134.18</v>
      </c>
      <c r="F46" s="14"/>
    </row>
    <row r="47" spans="1:6" x14ac:dyDescent="0.25">
      <c r="A47" t="s">
        <v>58</v>
      </c>
      <c r="C47" s="29">
        <v>40.479999999999997</v>
      </c>
      <c r="E47" s="14">
        <f t="shared" si="0"/>
        <v>40.479999999999997</v>
      </c>
      <c r="F47" s="14"/>
    </row>
    <row r="48" spans="1:6" x14ac:dyDescent="0.25">
      <c r="A48" t="s">
        <v>59</v>
      </c>
      <c r="D48" s="29">
        <v>40.479999999999997</v>
      </c>
      <c r="E48" s="14"/>
      <c r="F48" s="14">
        <f t="shared" si="1"/>
        <v>40.479999999999997</v>
      </c>
    </row>
    <row r="49" spans="3:6" x14ac:dyDescent="0.25">
      <c r="C49" s="29">
        <f>SUM(C3:C48)</f>
        <v>278589.91999999993</v>
      </c>
      <c r="D49" s="29">
        <f>SUM(D3:D48)</f>
        <v>278589.91999999993</v>
      </c>
      <c r="E49" s="29">
        <f t="shared" ref="E49:F49" si="2">SUM(E3:E48)</f>
        <v>195729.18</v>
      </c>
      <c r="F49" s="29">
        <f t="shared" si="2"/>
        <v>195729.18000000002</v>
      </c>
    </row>
    <row r="50" spans="3:6" x14ac:dyDescent="0.25">
      <c r="C50" s="29">
        <f>D49-C49</f>
        <v>0</v>
      </c>
      <c r="E50" s="14">
        <f>F49-E49</f>
        <v>0</v>
      </c>
    </row>
  </sheetData>
  <pageMargins left="0.7" right="0.7" top="0.75" bottom="0.75" header="0.3" footer="0.3"/>
  <pageSetup paperSize="9" scale="8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9E63-DDE2-482B-92FD-2F544DFF2713}">
  <dimension ref="A1:S22"/>
  <sheetViews>
    <sheetView workbookViewId="0">
      <pane ySplit="3" topLeftCell="A4" activePane="bottomLeft" state="frozen"/>
      <selection activeCell="N1" sqref="N1"/>
      <selection pane="bottomLeft" activeCell="R10" sqref="R10"/>
    </sheetView>
  </sheetViews>
  <sheetFormatPr baseColWidth="10" defaultColWidth="11.42578125" defaultRowHeight="15" x14ac:dyDescent="0.25"/>
  <cols>
    <col min="1" max="1" width="6.85546875" bestFit="1" customWidth="1"/>
    <col min="2" max="2" width="7.85546875" bestFit="1" customWidth="1"/>
    <col min="3" max="3" width="9" bestFit="1" customWidth="1"/>
    <col min="4" max="4" width="12" bestFit="1" customWidth="1"/>
    <col min="5" max="5" width="7.85546875" bestFit="1" customWidth="1"/>
    <col min="6" max="6" width="9" bestFit="1" customWidth="1"/>
    <col min="7" max="7" width="12" bestFit="1" customWidth="1"/>
    <col min="8" max="8" width="8.140625" bestFit="1" customWidth="1"/>
    <col min="9" max="9" width="5.7109375" bestFit="1" customWidth="1"/>
    <col min="10" max="10" width="12" bestFit="1" customWidth="1"/>
  </cols>
  <sheetData>
    <row r="1" spans="1:19" ht="21.75" x14ac:dyDescent="0.4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</row>
    <row r="2" spans="1:19" x14ac:dyDescent="0.25">
      <c r="A2" s="3"/>
      <c r="B2" s="4" t="s">
        <v>19</v>
      </c>
      <c r="C2" s="4"/>
      <c r="D2" s="4"/>
      <c r="E2" s="4" t="s">
        <v>20</v>
      </c>
      <c r="F2" s="4"/>
      <c r="G2" s="4"/>
      <c r="H2" s="4" t="s">
        <v>21</v>
      </c>
      <c r="I2" s="4"/>
      <c r="J2" s="4"/>
    </row>
    <row r="3" spans="1:19" x14ac:dyDescent="0.25">
      <c r="A3" s="5" t="s">
        <v>22</v>
      </c>
      <c r="B3" s="6" t="s">
        <v>23</v>
      </c>
      <c r="C3" s="6" t="s">
        <v>24</v>
      </c>
      <c r="D3" s="6" t="s">
        <v>25</v>
      </c>
      <c r="E3" s="6" t="s">
        <v>23</v>
      </c>
      <c r="F3" s="6" t="s">
        <v>24</v>
      </c>
      <c r="G3" s="6" t="s">
        <v>25</v>
      </c>
      <c r="H3" s="6" t="s">
        <v>23</v>
      </c>
      <c r="I3" s="6" t="s">
        <v>24</v>
      </c>
      <c r="J3" s="6" t="s">
        <v>25</v>
      </c>
    </row>
    <row r="4" spans="1:19" x14ac:dyDescent="0.25">
      <c r="A4" s="7"/>
      <c r="B4" s="8"/>
      <c r="C4" s="9"/>
      <c r="D4" s="10"/>
      <c r="E4" s="11"/>
      <c r="F4" s="9"/>
      <c r="G4" s="10"/>
      <c r="H4" s="12">
        <v>0</v>
      </c>
      <c r="I4" s="9">
        <v>0</v>
      </c>
      <c r="J4" s="10">
        <f>+H4*I4</f>
        <v>0</v>
      </c>
      <c r="K4" s="13" t="s">
        <v>26</v>
      </c>
      <c r="N4" s="14"/>
      <c r="O4" s="14"/>
      <c r="P4" s="14"/>
      <c r="Q4" s="14"/>
    </row>
    <row r="5" spans="1:19" x14ac:dyDescent="0.25">
      <c r="A5" s="15">
        <v>41649</v>
      </c>
      <c r="B5" s="16">
        <v>800</v>
      </c>
      <c r="C5" s="17">
        <f>20000/800</f>
        <v>25</v>
      </c>
      <c r="D5" s="18">
        <f>+B5*C5</f>
        <v>20000</v>
      </c>
      <c r="E5" s="16"/>
      <c r="F5" s="17"/>
      <c r="G5" s="18">
        <f>+E5*F5</f>
        <v>0</v>
      </c>
      <c r="H5" s="16">
        <f t="shared" ref="H5:H21" si="0">IF(AND(B5="",E5=""),"",H4+B5-E5)</f>
        <v>800</v>
      </c>
      <c r="I5" s="17"/>
      <c r="J5" s="18">
        <f>IF(H5="","",J4+D5-G5)</f>
        <v>20000</v>
      </c>
      <c r="K5" s="13" t="str">
        <f t="shared" ref="K5:K21" si="1">IF(OR(J6&lt;&gt;"",J5=""),"","Invent.Final")</f>
        <v/>
      </c>
      <c r="N5" s="14"/>
      <c r="O5" s="14"/>
      <c r="P5" s="14"/>
      <c r="Q5" s="14"/>
    </row>
    <row r="6" spans="1:19" x14ac:dyDescent="0.25">
      <c r="A6" s="15">
        <v>41749</v>
      </c>
      <c r="B6" s="16">
        <v>220</v>
      </c>
      <c r="C6" s="17">
        <f>119*0.87</f>
        <v>103.53</v>
      </c>
      <c r="D6" s="18">
        <f t="shared" ref="D6:D21" si="2">+B6*C6</f>
        <v>22776.6</v>
      </c>
      <c r="E6" s="16"/>
      <c r="F6" s="17"/>
      <c r="G6" s="18">
        <f t="shared" ref="G6:G21" si="3">+E6*F6</f>
        <v>0</v>
      </c>
      <c r="H6" s="16">
        <f t="shared" si="0"/>
        <v>1020</v>
      </c>
      <c r="I6" s="17"/>
      <c r="J6" s="18">
        <f t="shared" ref="J6:J21" si="4">IF(H6="","",J5+D6-G6)</f>
        <v>42776.6</v>
      </c>
      <c r="K6" s="13" t="str">
        <f t="shared" si="1"/>
        <v>Invent.Final</v>
      </c>
      <c r="M6">
        <v>220</v>
      </c>
      <c r="N6" s="14">
        <v>119</v>
      </c>
      <c r="O6" s="14">
        <f>M6*N6</f>
        <v>26180</v>
      </c>
      <c r="P6" s="14">
        <f>O6*0.87</f>
        <v>22776.6</v>
      </c>
      <c r="Q6" s="14">
        <f>O6*0.13</f>
        <v>3403.4</v>
      </c>
      <c r="R6" s="14">
        <f>O6*0.4</f>
        <v>10472</v>
      </c>
      <c r="S6" s="14">
        <f>O6*0.6</f>
        <v>15708</v>
      </c>
    </row>
    <row r="7" spans="1:19" x14ac:dyDescent="0.25">
      <c r="A7" s="15">
        <v>41835</v>
      </c>
      <c r="B7" s="16"/>
      <c r="C7" s="17"/>
      <c r="D7" s="18">
        <f t="shared" si="2"/>
        <v>0</v>
      </c>
      <c r="E7" s="16">
        <v>220</v>
      </c>
      <c r="F7" s="17">
        <f>C6</f>
        <v>103.53</v>
      </c>
      <c r="G7" s="18">
        <f t="shared" si="3"/>
        <v>22776.6</v>
      </c>
      <c r="H7" s="16"/>
      <c r="I7" s="17"/>
      <c r="J7" s="18" t="str">
        <f t="shared" si="4"/>
        <v/>
      </c>
      <c r="K7" s="13" t="str">
        <f t="shared" si="1"/>
        <v/>
      </c>
      <c r="N7" s="14"/>
      <c r="O7" s="14"/>
      <c r="P7" s="14"/>
      <c r="Q7" s="14"/>
    </row>
    <row r="8" spans="1:19" x14ac:dyDescent="0.25">
      <c r="A8" s="15">
        <v>41887</v>
      </c>
      <c r="B8" s="16"/>
      <c r="C8" s="17"/>
      <c r="D8" s="18">
        <f t="shared" si="2"/>
        <v>0</v>
      </c>
      <c r="E8" s="16">
        <v>30</v>
      </c>
      <c r="F8" s="17">
        <f>C5</f>
        <v>25</v>
      </c>
      <c r="G8" s="18">
        <f t="shared" si="3"/>
        <v>750</v>
      </c>
      <c r="H8" s="16"/>
      <c r="I8" s="17"/>
      <c r="J8" s="18" t="str">
        <f t="shared" si="4"/>
        <v/>
      </c>
      <c r="K8" s="13" t="str">
        <f t="shared" si="1"/>
        <v/>
      </c>
      <c r="N8" s="14"/>
      <c r="O8" s="14"/>
      <c r="P8" s="14"/>
      <c r="Q8" s="14"/>
    </row>
    <row r="9" spans="1:19" x14ac:dyDescent="0.25">
      <c r="A9" s="15">
        <v>41887</v>
      </c>
      <c r="B9" s="16"/>
      <c r="C9" s="17"/>
      <c r="D9" s="18">
        <f t="shared" si="2"/>
        <v>0</v>
      </c>
      <c r="E9" s="19">
        <f>SUM(E7:E8)</f>
        <v>250</v>
      </c>
      <c r="F9" s="20"/>
      <c r="G9" s="21">
        <f>SUM(G7:G8)</f>
        <v>23526.6</v>
      </c>
      <c r="H9" s="16">
        <f>IF(AND(B9="",E9=""),"",H6+B9-E9)</f>
        <v>770</v>
      </c>
      <c r="I9" s="17"/>
      <c r="J9" s="18">
        <f>IF(H9="","",J6+D9-G9)</f>
        <v>19250</v>
      </c>
      <c r="K9" s="13" t="str">
        <f t="shared" si="1"/>
        <v>Invent.Final</v>
      </c>
      <c r="N9" s="14">
        <v>20000</v>
      </c>
      <c r="O9" s="14">
        <f>N9*(0.135/12)</f>
        <v>225.00000000000003</v>
      </c>
      <c r="P9" s="14"/>
      <c r="Q9" s="14"/>
      <c r="R9">
        <f>O9/Q10</f>
        <v>678.70574661962087</v>
      </c>
    </row>
    <row r="10" spans="1:19" x14ac:dyDescent="0.25">
      <c r="A10" s="15">
        <v>41835</v>
      </c>
      <c r="B10" s="16"/>
      <c r="C10" s="17"/>
      <c r="D10" s="18">
        <f t="shared" si="2"/>
        <v>0</v>
      </c>
      <c r="E10" s="16"/>
      <c r="F10" s="17"/>
      <c r="G10" s="18">
        <f t="shared" si="3"/>
        <v>0</v>
      </c>
      <c r="H10" s="16" t="str">
        <f t="shared" si="0"/>
        <v/>
      </c>
      <c r="I10" s="17"/>
      <c r="J10" s="18" t="str">
        <f t="shared" si="4"/>
        <v/>
      </c>
      <c r="K10" s="13" t="str">
        <f t="shared" si="1"/>
        <v/>
      </c>
      <c r="N10" s="14"/>
      <c r="O10" s="14">
        <f>(1+(0.135/12))</f>
        <v>1.01125</v>
      </c>
      <c r="P10" s="14">
        <f>POWER(O10,(-36))</f>
        <v>0.66848667317075072</v>
      </c>
      <c r="Q10" s="14">
        <f>1-P10</f>
        <v>0.33151332682924928</v>
      </c>
      <c r="R10" s="14"/>
    </row>
    <row r="11" spans="1:19" x14ac:dyDescent="0.25">
      <c r="A11" s="15">
        <v>41749</v>
      </c>
      <c r="B11" s="16"/>
      <c r="C11" s="17"/>
      <c r="D11" s="18">
        <f t="shared" si="2"/>
        <v>0</v>
      </c>
      <c r="E11" s="16"/>
      <c r="F11" s="17"/>
      <c r="G11" s="18">
        <f t="shared" si="3"/>
        <v>0</v>
      </c>
      <c r="H11" s="16" t="str">
        <f t="shared" si="0"/>
        <v/>
      </c>
      <c r="I11" s="17"/>
      <c r="J11" s="18" t="str">
        <f t="shared" si="4"/>
        <v/>
      </c>
      <c r="K11" s="13" t="str">
        <f t="shared" si="1"/>
        <v/>
      </c>
      <c r="N11" s="14"/>
      <c r="O11" s="14"/>
      <c r="P11" s="14"/>
      <c r="Q11" s="14"/>
    </row>
    <row r="12" spans="1:19" x14ac:dyDescent="0.25">
      <c r="A12" s="15"/>
      <c r="B12" s="16"/>
      <c r="C12" s="17"/>
      <c r="D12" s="18">
        <f t="shared" si="2"/>
        <v>0</v>
      </c>
      <c r="E12" s="16"/>
      <c r="F12" s="17"/>
      <c r="G12" s="18">
        <f t="shared" si="3"/>
        <v>0</v>
      </c>
      <c r="H12" s="16" t="str">
        <f t="shared" si="0"/>
        <v/>
      </c>
      <c r="I12" s="17"/>
      <c r="J12" s="18" t="str">
        <f t="shared" si="4"/>
        <v/>
      </c>
      <c r="K12" s="13" t="str">
        <f t="shared" si="1"/>
        <v/>
      </c>
      <c r="N12" s="14"/>
      <c r="O12" s="14"/>
      <c r="P12" s="14"/>
      <c r="Q12" s="14"/>
    </row>
    <row r="13" spans="1:19" x14ac:dyDescent="0.25">
      <c r="A13" s="15"/>
      <c r="B13" s="16"/>
      <c r="C13" s="17"/>
      <c r="D13" s="18">
        <f t="shared" si="2"/>
        <v>0</v>
      </c>
      <c r="E13" s="16"/>
      <c r="F13" s="17"/>
      <c r="G13" s="18">
        <f t="shared" si="3"/>
        <v>0</v>
      </c>
      <c r="H13" s="16" t="str">
        <f t="shared" si="0"/>
        <v/>
      </c>
      <c r="I13" s="17"/>
      <c r="J13" s="18" t="str">
        <f t="shared" si="4"/>
        <v/>
      </c>
      <c r="K13" s="13" t="str">
        <f t="shared" si="1"/>
        <v/>
      </c>
      <c r="N13" s="14"/>
      <c r="O13" s="14"/>
      <c r="P13" s="14"/>
      <c r="Q13" s="14"/>
    </row>
    <row r="14" spans="1:19" x14ac:dyDescent="0.25">
      <c r="A14" s="15"/>
      <c r="B14" s="16"/>
      <c r="C14" s="17"/>
      <c r="D14" s="18">
        <f t="shared" si="2"/>
        <v>0</v>
      </c>
      <c r="E14" s="16"/>
      <c r="F14" s="17"/>
      <c r="G14" s="18">
        <f t="shared" si="3"/>
        <v>0</v>
      </c>
      <c r="H14" s="16" t="str">
        <f t="shared" si="0"/>
        <v/>
      </c>
      <c r="I14" s="17"/>
      <c r="J14" s="18" t="str">
        <f t="shared" si="4"/>
        <v/>
      </c>
      <c r="K14" s="13" t="str">
        <f t="shared" si="1"/>
        <v/>
      </c>
      <c r="N14" s="14"/>
      <c r="O14" s="14"/>
      <c r="P14" s="14"/>
      <c r="Q14" s="14"/>
    </row>
    <row r="15" spans="1:19" x14ac:dyDescent="0.25">
      <c r="A15" s="22"/>
      <c r="B15" s="16"/>
      <c r="C15" s="17"/>
      <c r="D15" s="18">
        <f t="shared" si="2"/>
        <v>0</v>
      </c>
      <c r="E15" s="16"/>
      <c r="F15" s="17"/>
      <c r="G15" s="18">
        <f t="shared" si="3"/>
        <v>0</v>
      </c>
      <c r="H15" s="16" t="str">
        <f t="shared" si="0"/>
        <v/>
      </c>
      <c r="I15" s="17"/>
      <c r="J15" s="18" t="str">
        <f t="shared" si="4"/>
        <v/>
      </c>
      <c r="K15" s="13" t="str">
        <f t="shared" si="1"/>
        <v/>
      </c>
      <c r="N15" s="14"/>
      <c r="O15" s="14"/>
      <c r="P15" s="14"/>
      <c r="Q15" s="14"/>
    </row>
    <row r="16" spans="1:19" x14ac:dyDescent="0.25">
      <c r="A16" s="22"/>
      <c r="B16" s="16"/>
      <c r="C16" s="17"/>
      <c r="D16" s="18">
        <f t="shared" si="2"/>
        <v>0</v>
      </c>
      <c r="E16" s="16"/>
      <c r="F16" s="17"/>
      <c r="G16" s="18">
        <f t="shared" si="3"/>
        <v>0</v>
      </c>
      <c r="H16" s="16" t="str">
        <f t="shared" si="0"/>
        <v/>
      </c>
      <c r="I16" s="17"/>
      <c r="J16" s="18" t="str">
        <f t="shared" si="4"/>
        <v/>
      </c>
      <c r="K16" s="13" t="str">
        <f t="shared" si="1"/>
        <v/>
      </c>
      <c r="N16" s="14"/>
      <c r="O16" s="14"/>
      <c r="P16" s="14"/>
      <c r="Q16" s="14"/>
    </row>
    <row r="17" spans="1:17" x14ac:dyDescent="0.25">
      <c r="A17" s="22"/>
      <c r="B17" s="16"/>
      <c r="C17" s="17"/>
      <c r="D17" s="18">
        <f t="shared" si="2"/>
        <v>0</v>
      </c>
      <c r="E17" s="16"/>
      <c r="F17" s="17"/>
      <c r="G17" s="18">
        <f t="shared" si="3"/>
        <v>0</v>
      </c>
      <c r="H17" s="16" t="str">
        <f t="shared" si="0"/>
        <v/>
      </c>
      <c r="I17" s="17"/>
      <c r="J17" s="18" t="str">
        <f t="shared" si="4"/>
        <v/>
      </c>
      <c r="K17" s="13" t="str">
        <f t="shared" si="1"/>
        <v/>
      </c>
      <c r="N17" s="14"/>
      <c r="O17" s="14"/>
      <c r="P17" s="14"/>
      <c r="Q17" s="14"/>
    </row>
    <row r="18" spans="1:17" x14ac:dyDescent="0.25">
      <c r="A18" s="22"/>
      <c r="B18" s="16"/>
      <c r="C18" s="17"/>
      <c r="D18" s="18">
        <f t="shared" si="2"/>
        <v>0</v>
      </c>
      <c r="E18" s="16"/>
      <c r="F18" s="17"/>
      <c r="G18" s="18">
        <f t="shared" si="3"/>
        <v>0</v>
      </c>
      <c r="H18" s="16" t="str">
        <f t="shared" si="0"/>
        <v/>
      </c>
      <c r="I18" s="17"/>
      <c r="J18" s="18" t="str">
        <f t="shared" si="4"/>
        <v/>
      </c>
      <c r="K18" s="13" t="str">
        <f t="shared" si="1"/>
        <v/>
      </c>
      <c r="N18" s="14"/>
      <c r="O18" s="14"/>
      <c r="P18" s="14"/>
      <c r="Q18" s="14"/>
    </row>
    <row r="19" spans="1:17" x14ac:dyDescent="0.25">
      <c r="A19" s="22"/>
      <c r="B19" s="16"/>
      <c r="C19" s="17"/>
      <c r="D19" s="18">
        <f t="shared" si="2"/>
        <v>0</v>
      </c>
      <c r="E19" s="16"/>
      <c r="F19" s="17"/>
      <c r="G19" s="18">
        <f t="shared" si="3"/>
        <v>0</v>
      </c>
      <c r="H19" s="16" t="str">
        <f t="shared" si="0"/>
        <v/>
      </c>
      <c r="I19" s="17"/>
      <c r="J19" s="18" t="str">
        <f t="shared" si="4"/>
        <v/>
      </c>
      <c r="K19" s="13" t="str">
        <f t="shared" si="1"/>
        <v/>
      </c>
      <c r="N19" s="14"/>
      <c r="O19" s="14"/>
      <c r="P19" s="14"/>
      <c r="Q19" s="14"/>
    </row>
    <row r="20" spans="1:17" x14ac:dyDescent="0.25">
      <c r="A20" s="22"/>
      <c r="B20" s="16"/>
      <c r="C20" s="17"/>
      <c r="D20" s="18">
        <f t="shared" si="2"/>
        <v>0</v>
      </c>
      <c r="E20" s="16"/>
      <c r="F20" s="17"/>
      <c r="G20" s="18">
        <f t="shared" si="3"/>
        <v>0</v>
      </c>
      <c r="H20" s="16" t="str">
        <f t="shared" si="0"/>
        <v/>
      </c>
      <c r="I20" s="17"/>
      <c r="J20" s="18" t="str">
        <f t="shared" si="4"/>
        <v/>
      </c>
      <c r="K20" s="13" t="str">
        <f t="shared" si="1"/>
        <v/>
      </c>
      <c r="N20" s="14"/>
      <c r="O20" s="14"/>
      <c r="P20" s="14"/>
      <c r="Q20" s="14"/>
    </row>
    <row r="21" spans="1:17" x14ac:dyDescent="0.25">
      <c r="A21" s="23"/>
      <c r="B21" s="24"/>
      <c r="C21" s="25"/>
      <c r="D21" s="26">
        <f t="shared" si="2"/>
        <v>0</v>
      </c>
      <c r="E21" s="24"/>
      <c r="F21" s="25"/>
      <c r="G21" s="26">
        <f t="shared" si="3"/>
        <v>0</v>
      </c>
      <c r="H21" s="24" t="str">
        <f t="shared" si="0"/>
        <v/>
      </c>
      <c r="I21" s="25"/>
      <c r="J21" s="26" t="str">
        <f t="shared" si="4"/>
        <v/>
      </c>
      <c r="K21" s="13" t="str">
        <f t="shared" si="1"/>
        <v/>
      </c>
      <c r="N21" s="14"/>
      <c r="O21" s="14"/>
      <c r="P21" s="14"/>
      <c r="Q21" s="14"/>
    </row>
    <row r="22" spans="1:17" x14ac:dyDescent="0.25">
      <c r="A22" s="27" t="s">
        <v>27</v>
      </c>
      <c r="B22" s="27">
        <f>SUM(B4:B21)</f>
        <v>1020</v>
      </c>
      <c r="C22" s="27"/>
      <c r="D22" s="28">
        <f t="shared" ref="D22:H22" si="5">SUM(D4:D21)</f>
        <v>42776.6</v>
      </c>
      <c r="E22" s="28">
        <f t="shared" si="5"/>
        <v>500</v>
      </c>
      <c r="F22" s="27"/>
      <c r="G22" s="28">
        <f>SUM(G4:G21)</f>
        <v>47053.2</v>
      </c>
      <c r="H22" s="28">
        <f t="shared" si="5"/>
        <v>2590</v>
      </c>
      <c r="I22" s="27"/>
      <c r="J22" s="28"/>
      <c r="K22" s="13"/>
      <c r="N22" s="14"/>
      <c r="O22" s="14"/>
      <c r="P22" s="14"/>
      <c r="Q2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3686-5AEC-4E0B-BCCF-B54F4F543DE3}">
  <dimension ref="A1:C1"/>
  <sheetViews>
    <sheetView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29</v>
      </c>
      <c r="B1" t="s">
        <v>31</v>
      </c>
      <c r="C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Asientos</vt:lpstr>
      <vt:lpstr>UEPS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Ness</dc:creator>
  <cp:lastModifiedBy>Ness</cp:lastModifiedBy>
  <cp:lastPrinted>2025-09-16T10:32:31Z</cp:lastPrinted>
  <dcterms:created xsi:type="dcterms:W3CDTF">2025-09-16T00:04:30Z</dcterms:created>
  <dcterms:modified xsi:type="dcterms:W3CDTF">2025-09-16T11:32:34Z</dcterms:modified>
</cp:coreProperties>
</file>